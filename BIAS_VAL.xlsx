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aroksh_FWO\lab_13feb\"/>
    </mc:Choice>
  </mc:AlternateContent>
  <bookViews>
    <workbookView xWindow="0" yWindow="0" windowWidth="28800" windowHeight="12210" activeTab="1"/>
  </bookViews>
  <sheets>
    <sheet name="sample_values" sheetId="1" r:id="rId1"/>
    <sheet name="Sheet1" sheetId="2" r:id="rId2"/>
  </sheets>
  <calcPr calcId="162913"/>
</workbook>
</file>

<file path=xl/calcChain.xml><?xml version="1.0" encoding="utf-8"?>
<calcChain xmlns="http://schemas.openxmlformats.org/spreadsheetml/2006/main">
  <c r="H2" i="2" l="1"/>
  <c r="G2" i="2"/>
  <c r="I2" i="2" s="1"/>
  <c r="D3" i="2"/>
  <c r="D4" i="2"/>
  <c r="E2" i="2" s="1"/>
  <c r="D5" i="2"/>
  <c r="F2" i="2" s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2" i="2"/>
</calcChain>
</file>

<file path=xl/sharedStrings.xml><?xml version="1.0" encoding="utf-8"?>
<sst xmlns="http://schemas.openxmlformats.org/spreadsheetml/2006/main" count="81" uniqueCount="76">
  <si>
    <t>fid</t>
  </si>
  <si>
    <t>Lat</t>
  </si>
  <si>
    <t>Long</t>
  </si>
  <si>
    <t>WD</t>
  </si>
  <si>
    <t>WS</t>
  </si>
  <si>
    <t>Air temp</t>
  </si>
  <si>
    <t>Hum</t>
  </si>
  <si>
    <t>HI</t>
  </si>
  <si>
    <t>Press</t>
  </si>
  <si>
    <t>Feature</t>
  </si>
  <si>
    <t>Time</t>
  </si>
  <si>
    <t>ESE 116</t>
  </si>
  <si>
    <t>Concrete</t>
  </si>
  <si>
    <t>10:24:00</t>
  </si>
  <si>
    <t>NE 50</t>
  </si>
  <si>
    <t>10:32:00</t>
  </si>
  <si>
    <t>NE 53</t>
  </si>
  <si>
    <t>10:36:00</t>
  </si>
  <si>
    <t>W 276</t>
  </si>
  <si>
    <t>10:45:00</t>
  </si>
  <si>
    <t>10:52:00</t>
  </si>
  <si>
    <t>NW 283</t>
  </si>
  <si>
    <t>11:00:00</t>
  </si>
  <si>
    <t>W 266</t>
  </si>
  <si>
    <t>11:03:00</t>
  </si>
  <si>
    <t>11:08:00</t>
  </si>
  <si>
    <t>N 10</t>
  </si>
  <si>
    <t>11:11:00</t>
  </si>
  <si>
    <t>ENE 83</t>
  </si>
  <si>
    <t>11:13:00</t>
  </si>
  <si>
    <t>N 350</t>
  </si>
  <si>
    <t>11:17:00</t>
  </si>
  <si>
    <t>NNW 324</t>
  </si>
  <si>
    <t>11:20:00</t>
  </si>
  <si>
    <t>W 265</t>
  </si>
  <si>
    <t>11:23:00</t>
  </si>
  <si>
    <t>WNW 294</t>
  </si>
  <si>
    <t>11:37:00</t>
  </si>
  <si>
    <t>NNE 13</t>
  </si>
  <si>
    <t>11:41:00</t>
  </si>
  <si>
    <t>N 358</t>
  </si>
  <si>
    <t>11:46:00</t>
  </si>
  <si>
    <t>11:48:00</t>
  </si>
  <si>
    <t>E 82</t>
  </si>
  <si>
    <t>11:52:00</t>
  </si>
  <si>
    <t>E 85</t>
  </si>
  <si>
    <t>12:12:00</t>
  </si>
  <si>
    <t>SSE 158</t>
  </si>
  <si>
    <t>12:13:00</t>
  </si>
  <si>
    <t>ESE 109</t>
  </si>
  <si>
    <t>12:17:00</t>
  </si>
  <si>
    <t>ESE 107</t>
  </si>
  <si>
    <t>12:20:00</t>
  </si>
  <si>
    <t>SE 132</t>
  </si>
  <si>
    <t>12:24:00</t>
  </si>
  <si>
    <t>E 95</t>
  </si>
  <si>
    <t>12:28:00</t>
  </si>
  <si>
    <t>12:34:00</t>
  </si>
  <si>
    <t>SE 144</t>
  </si>
  <si>
    <t>12:38:00</t>
  </si>
  <si>
    <t>S 182</t>
  </si>
  <si>
    <t>12:41:00</t>
  </si>
  <si>
    <t>SW 218</t>
  </si>
  <si>
    <t>12:45:00</t>
  </si>
  <si>
    <t>SSW 206</t>
  </si>
  <si>
    <t>12:48:00</t>
  </si>
  <si>
    <t>FIELD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</si>
  <si>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</si>
  <si>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LANDSAT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</si>
  <si>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DIFF</t>
  </si>
  <si>
    <t>RMSE</t>
  </si>
  <si>
    <t>SQ DIFF</t>
  </si>
  <si>
    <t>MEAN OF FIELD VALUES</t>
  </si>
  <si>
    <t>MEAN OF LANDSAT 9 DATA</t>
  </si>
  <si>
    <t>BIAS</t>
  </si>
  <si>
    <t>MODIS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</si>
</sst>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FIELD</a:t>
            </a:r>
            <a:r>
              <a:rPr lang="en-IN" baseline="0"/>
              <a:t> VS LANDSAT VS  MODIS DATA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FIELD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Sheet1!$A$2:$A$30</c:f>
              <c:numCache>
                <c:formatCode>General</c:formatCode>
                <c:ptCount val="29"/>
                <c:pt idx="0">
                  <c:v>33.43</c:v>
                </c:pt>
                <c:pt idx="1">
                  <c:v>35.28</c:v>
                </c:pt>
                <c:pt idx="2">
                  <c:v>33.75</c:v>
                </c:pt>
                <c:pt idx="3">
                  <c:v>36.21</c:v>
                </c:pt>
                <c:pt idx="4">
                  <c:v>35.53</c:v>
                </c:pt>
                <c:pt idx="5">
                  <c:v>34.86</c:v>
                </c:pt>
                <c:pt idx="6">
                  <c:v>30.3</c:v>
                </c:pt>
                <c:pt idx="7">
                  <c:v>32.51</c:v>
                </c:pt>
                <c:pt idx="8">
                  <c:v>35.36</c:v>
                </c:pt>
                <c:pt idx="9">
                  <c:v>26.76</c:v>
                </c:pt>
                <c:pt idx="10">
                  <c:v>36.93</c:v>
                </c:pt>
                <c:pt idx="11">
                  <c:v>35.299999999999997</c:v>
                </c:pt>
                <c:pt idx="12">
                  <c:v>34</c:v>
                </c:pt>
                <c:pt idx="13">
                  <c:v>35.229999999999997</c:v>
                </c:pt>
                <c:pt idx="14">
                  <c:v>41.03</c:v>
                </c:pt>
                <c:pt idx="15">
                  <c:v>43.03</c:v>
                </c:pt>
                <c:pt idx="16">
                  <c:v>41.7</c:v>
                </c:pt>
                <c:pt idx="17">
                  <c:v>41.76</c:v>
                </c:pt>
                <c:pt idx="18">
                  <c:v>34.96</c:v>
                </c:pt>
                <c:pt idx="19">
                  <c:v>37.18</c:v>
                </c:pt>
                <c:pt idx="20">
                  <c:v>43.1</c:v>
                </c:pt>
                <c:pt idx="21">
                  <c:v>38.5</c:v>
                </c:pt>
                <c:pt idx="22">
                  <c:v>37.92</c:v>
                </c:pt>
                <c:pt idx="23">
                  <c:v>34.909999999999997</c:v>
                </c:pt>
                <c:pt idx="24">
                  <c:v>38.380000000000003</c:v>
                </c:pt>
                <c:pt idx="25">
                  <c:v>43.4</c:v>
                </c:pt>
                <c:pt idx="26">
                  <c:v>43.13</c:v>
                </c:pt>
                <c:pt idx="27">
                  <c:v>43.73</c:v>
                </c:pt>
                <c:pt idx="28">
                  <c:v>42.45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4F-45AE-8E34-94A936F0DAED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LANDSAT                                                                                                                                                                                                                                                       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Sheet1!$B$2:$B$30</c:f>
              <c:numCache>
                <c:formatCode>0.00</c:formatCode>
                <c:ptCount val="29"/>
                <c:pt idx="0">
                  <c:v>31.455347061157202</c:v>
                </c:pt>
                <c:pt idx="1">
                  <c:v>31.18874549865723</c:v>
                </c:pt>
                <c:pt idx="2">
                  <c:v>31.45534706115723</c:v>
                </c:pt>
                <c:pt idx="3">
                  <c:v>30.99392127990723</c:v>
                </c:pt>
                <c:pt idx="4">
                  <c:v>31.16823768615723</c:v>
                </c:pt>
                <c:pt idx="5">
                  <c:v>32.121879577636719</c:v>
                </c:pt>
                <c:pt idx="6">
                  <c:v>32.121879577636719</c:v>
                </c:pt>
                <c:pt idx="7">
                  <c:v>31.776666641235352</c:v>
                </c:pt>
                <c:pt idx="8">
                  <c:v>31.742486953735352</c:v>
                </c:pt>
                <c:pt idx="9">
                  <c:v>32.675590515136719</c:v>
                </c:pt>
                <c:pt idx="10">
                  <c:v>33.085746765136719</c:v>
                </c:pt>
                <c:pt idx="11">
                  <c:v>33.044731140136719</c:v>
                </c:pt>
                <c:pt idx="12">
                  <c:v>33.044731140136719</c:v>
                </c:pt>
                <c:pt idx="13">
                  <c:v>32.009086608886719</c:v>
                </c:pt>
                <c:pt idx="14">
                  <c:v>33.612144470214837</c:v>
                </c:pt>
                <c:pt idx="15">
                  <c:v>32.986625671386719</c:v>
                </c:pt>
                <c:pt idx="16">
                  <c:v>32.802055358886719</c:v>
                </c:pt>
                <c:pt idx="17">
                  <c:v>32.494438171386719</c:v>
                </c:pt>
                <c:pt idx="18">
                  <c:v>32.501274108886719</c:v>
                </c:pt>
                <c:pt idx="19">
                  <c:v>32.501274108886719</c:v>
                </c:pt>
                <c:pt idx="20">
                  <c:v>31.903131484985352</c:v>
                </c:pt>
                <c:pt idx="21">
                  <c:v>31.32546424865723</c:v>
                </c:pt>
                <c:pt idx="22">
                  <c:v>31.32546424865723</c:v>
                </c:pt>
                <c:pt idx="23">
                  <c:v>31.988580703735352</c:v>
                </c:pt>
                <c:pt idx="24">
                  <c:v>31.10329627990723</c:v>
                </c:pt>
                <c:pt idx="25">
                  <c:v>29.58571815490723</c:v>
                </c:pt>
                <c:pt idx="26">
                  <c:v>31.01101112365723</c:v>
                </c:pt>
                <c:pt idx="27">
                  <c:v>29.83864784240723</c:v>
                </c:pt>
                <c:pt idx="28">
                  <c:v>30.47097206115723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4F-45AE-8E34-94A936F0DAED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MODIS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Sheet1!$C$2:$C$30</c:f>
              <c:numCache>
                <c:formatCode>0.00</c:formatCode>
                <c:ptCount val="29"/>
                <c:pt idx="0">
                  <c:v>24.850000000000023</c:v>
                </c:pt>
                <c:pt idx="1">
                  <c:v>24.850000000000023</c:v>
                </c:pt>
                <c:pt idx="2">
                  <c:v>24.850000000000023</c:v>
                </c:pt>
                <c:pt idx="3">
                  <c:v>24.850000000000023</c:v>
                </c:pt>
                <c:pt idx="4">
                  <c:v>25.850000000000023</c:v>
                </c:pt>
                <c:pt idx="5">
                  <c:v>24.850000000000023</c:v>
                </c:pt>
                <c:pt idx="6">
                  <c:v>24.850000000000023</c:v>
                </c:pt>
                <c:pt idx="7">
                  <c:v>24.850000000000023</c:v>
                </c:pt>
                <c:pt idx="8">
                  <c:v>25.850000000000023</c:v>
                </c:pt>
                <c:pt idx="9">
                  <c:v>25.850000000000023</c:v>
                </c:pt>
                <c:pt idx="10">
                  <c:v>25.850000000000023</c:v>
                </c:pt>
                <c:pt idx="11">
                  <c:v>25.850000000000023</c:v>
                </c:pt>
                <c:pt idx="12">
                  <c:v>25.850000000000023</c:v>
                </c:pt>
                <c:pt idx="13">
                  <c:v>25.850000000000023</c:v>
                </c:pt>
                <c:pt idx="14">
                  <c:v>25.850000000000023</c:v>
                </c:pt>
                <c:pt idx="15">
                  <c:v>25.850000000000023</c:v>
                </c:pt>
                <c:pt idx="16">
                  <c:v>25.850000000000023</c:v>
                </c:pt>
                <c:pt idx="17">
                  <c:v>25.850000000000023</c:v>
                </c:pt>
                <c:pt idx="18">
                  <c:v>25.850000000000023</c:v>
                </c:pt>
                <c:pt idx="19">
                  <c:v>25.03000000000003</c:v>
                </c:pt>
                <c:pt idx="20">
                  <c:v>25.03000000000003</c:v>
                </c:pt>
                <c:pt idx="21">
                  <c:v>25.850000000000023</c:v>
                </c:pt>
                <c:pt idx="22">
                  <c:v>25.850000000000023</c:v>
                </c:pt>
                <c:pt idx="23">
                  <c:v>25.03000000000003</c:v>
                </c:pt>
                <c:pt idx="24">
                  <c:v>24.850000000000023</c:v>
                </c:pt>
                <c:pt idx="25">
                  <c:v>25.03000000000003</c:v>
                </c:pt>
                <c:pt idx="26">
                  <c:v>24.850000000000023</c:v>
                </c:pt>
                <c:pt idx="27">
                  <c:v>24.850000000000023</c:v>
                </c:pt>
                <c:pt idx="28">
                  <c:v>24.850000000000023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4F-45AE-8E34-94A936F0D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315791"/>
        <c:axId val="440317871"/>
      </c:lineChart>
      <c:catAx>
        <c:axId val="440315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SAMPLE</a:t>
                </a:r>
                <a:r>
                  <a:rPr lang="en-IN" baseline="0"/>
                  <a:t> DATA POINTS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3556400566977732"/>
              <c:y val="0.695282662206084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17871"/>
        <c:crosses val="autoZero"/>
        <c:auto val="1"/>
        <c:lblAlgn val="ctr"/>
        <c:lblOffset val="100"/>
        <c:noMultiLvlLbl val="0"/>
      </c:catAx>
      <c:valAx>
        <c:axId val="44031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TEMPERATURE</a:t>
                </a:r>
                <a:r>
                  <a:rPr lang="en-IN" baseline="0"/>
                  <a:t> ( °C)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15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2083333333333336E-2"/>
          <c:y val="0.74479002624671919"/>
          <c:w val="0.26250000000000001"/>
          <c:h val="0.22743219597550307"/>
        </c:manualLayout>
      </c:layout>
      <c:overlay val="0"/>
      <c:spPr>
        <a:noFill/>
        <a:ln>
          <a:solidFill>
            <a:schemeClr val="accent2">
              <a:lumMod val="40000"/>
              <a:lumOff val="6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290512</xdr:colOff>
      <xdr:row>9</xdr:row>
      <xdr:rowOff>152400</xdr:rowOff>
    </xdr:from>
    <xdr:to>
      <xdr:col>19</xdr:col>
      <xdr:colOff>361950</xdr:colOff>
      <xdr:row>32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M1" sqref="M1:M30"/>
    </sheetView>
  </sheetViews>
  <sheetFormatPr defaultRowHeight="15" x14ac:dyDescent="0.2"/>
  <cols>
    <col min="1" max="1024" width="15"/>
  </cols>
  <sheetData>
    <row r="1" spans="1:13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66</v>
      </c>
      <c r="K1" t="s">
        <v>9</v>
      </c>
      <c r="L1" t="s">
        <v>10</v>
      </c>
      <c r="M1" t="s">
        <v>67</v>
      </c>
    </row>
    <row r="2" spans="1:13" ht="12.75" x14ac:dyDescent="0.2">
      <c r="A2">
        <v>1</v>
      </c>
      <c r="B2">
        <v>20.146635</v>
      </c>
      <c r="C2">
        <v>85.677364999999995</v>
      </c>
      <c r="D2" t="s">
        <v>11</v>
      </c>
      <c r="E2">
        <v>2.1</v>
      </c>
      <c r="F2">
        <v>28.5</v>
      </c>
      <c r="G2">
        <v>59.4</v>
      </c>
      <c r="H2">
        <v>30.3</v>
      </c>
      <c r="I2">
        <v>1016.9</v>
      </c>
      <c r="J2">
        <v>33.43</v>
      </c>
      <c r="K2" t="s">
        <v>12</v>
      </c>
      <c r="L2" t="s">
        <v>13</v>
      </c>
      <c r="M2" s="1">
        <v>31.455347061157202</v>
      </c>
    </row>
    <row r="3" spans="1:13" ht="12.75" x14ac:dyDescent="0.2">
      <c r="A3">
        <v>2</v>
      </c>
      <c r="B3">
        <v>20.146307</v>
      </c>
      <c r="C3">
        <v>85.677554999999998</v>
      </c>
      <c r="D3" t="s">
        <v>14</v>
      </c>
      <c r="E3">
        <v>1.4</v>
      </c>
      <c r="F3">
        <v>27.8</v>
      </c>
      <c r="G3">
        <v>56.7</v>
      </c>
      <c r="H3">
        <v>30.8</v>
      </c>
      <c r="I3">
        <v>1016.4</v>
      </c>
      <c r="J3">
        <v>35.28</v>
      </c>
      <c r="L3" t="s">
        <v>15</v>
      </c>
      <c r="M3" s="1">
        <v>31.18874549865723</v>
      </c>
    </row>
    <row r="4" spans="1:13" ht="12.75" x14ac:dyDescent="0.2">
      <c r="A4">
        <v>3</v>
      </c>
      <c r="B4">
        <v>20.146635</v>
      </c>
      <c r="C4">
        <v>85.677366000000006</v>
      </c>
      <c r="D4" t="s">
        <v>16</v>
      </c>
      <c r="E4">
        <v>0.8</v>
      </c>
      <c r="F4">
        <v>27.4</v>
      </c>
      <c r="G4">
        <v>58.1</v>
      </c>
      <c r="H4">
        <v>29.3</v>
      </c>
      <c r="I4">
        <v>1016.3</v>
      </c>
      <c r="J4">
        <v>33.75</v>
      </c>
      <c r="L4" t="s">
        <v>17</v>
      </c>
      <c r="M4" s="1">
        <v>31.45534706115723</v>
      </c>
    </row>
    <row r="5" spans="1:13" ht="12.75" x14ac:dyDescent="0.2">
      <c r="A5">
        <v>4</v>
      </c>
      <c r="B5">
        <v>20.145426</v>
      </c>
      <c r="C5">
        <v>85.677216999999999</v>
      </c>
      <c r="D5" t="s">
        <v>18</v>
      </c>
      <c r="E5">
        <v>1.6</v>
      </c>
      <c r="F5">
        <v>28.7</v>
      </c>
      <c r="G5">
        <v>55.8</v>
      </c>
      <c r="H5">
        <v>34.200000000000003</v>
      </c>
      <c r="I5">
        <v>1016</v>
      </c>
      <c r="J5">
        <v>36.21</v>
      </c>
      <c r="L5" t="s">
        <v>19</v>
      </c>
      <c r="M5" s="1">
        <v>30.99392127990723</v>
      </c>
    </row>
    <row r="6" spans="1:13" ht="12.75" x14ac:dyDescent="0.2">
      <c r="A6">
        <v>6</v>
      </c>
      <c r="B6">
        <v>20.145282999999999</v>
      </c>
      <c r="C6">
        <v>85.676132999999993</v>
      </c>
      <c r="D6" t="s">
        <v>16</v>
      </c>
      <c r="E6">
        <v>2.4</v>
      </c>
      <c r="F6">
        <v>29.7</v>
      </c>
      <c r="G6">
        <v>53.9</v>
      </c>
      <c r="H6">
        <v>31.7</v>
      </c>
      <c r="I6">
        <v>1016.1</v>
      </c>
      <c r="J6">
        <v>35.53</v>
      </c>
      <c r="L6" t="s">
        <v>20</v>
      </c>
      <c r="M6" s="1">
        <v>31.16823768615723</v>
      </c>
    </row>
    <row r="7" spans="1:13" ht="12.75" x14ac:dyDescent="0.2">
      <c r="A7">
        <v>7</v>
      </c>
      <c r="B7">
        <v>20.145568999999998</v>
      </c>
      <c r="C7">
        <v>85.675698999999994</v>
      </c>
      <c r="D7" t="s">
        <v>21</v>
      </c>
      <c r="E7">
        <v>1.9</v>
      </c>
      <c r="F7">
        <v>27.9</v>
      </c>
      <c r="G7">
        <v>58</v>
      </c>
      <c r="H7">
        <v>29.5</v>
      </c>
      <c r="I7">
        <v>1015.8</v>
      </c>
      <c r="J7">
        <v>34.86</v>
      </c>
      <c r="L7" t="s">
        <v>22</v>
      </c>
      <c r="M7" s="1">
        <v>32.121879577636719</v>
      </c>
    </row>
    <row r="8" spans="1:13" ht="12.75" x14ac:dyDescent="0.2">
      <c r="A8">
        <v>8</v>
      </c>
      <c r="B8">
        <v>20.145747</v>
      </c>
      <c r="C8">
        <v>85.675720999999996</v>
      </c>
      <c r="D8" t="s">
        <v>23</v>
      </c>
      <c r="E8">
        <v>0.4</v>
      </c>
      <c r="F8">
        <v>30.6</v>
      </c>
      <c r="G8">
        <v>54.6</v>
      </c>
      <c r="H8">
        <v>33</v>
      </c>
      <c r="I8">
        <v>1015.5</v>
      </c>
      <c r="J8">
        <v>30.3</v>
      </c>
      <c r="L8" t="s">
        <v>24</v>
      </c>
      <c r="M8" s="1">
        <v>32.121879577636719</v>
      </c>
    </row>
    <row r="9" spans="1:13" ht="12.75" x14ac:dyDescent="0.2">
      <c r="A9">
        <v>9</v>
      </c>
      <c r="B9">
        <v>20.145685</v>
      </c>
      <c r="C9">
        <v>85.674757999999997</v>
      </c>
      <c r="D9" t="s">
        <v>18</v>
      </c>
      <c r="E9">
        <v>1.5</v>
      </c>
      <c r="F9">
        <v>28.2</v>
      </c>
      <c r="G9">
        <v>53</v>
      </c>
      <c r="H9">
        <v>29.5</v>
      </c>
      <c r="I9">
        <v>1015.5</v>
      </c>
      <c r="J9">
        <v>32.51</v>
      </c>
      <c r="L9" t="s">
        <v>25</v>
      </c>
      <c r="M9" s="1">
        <v>31.776666641235352</v>
      </c>
    </row>
    <row r="10" spans="1:13" ht="12.75" x14ac:dyDescent="0.2">
      <c r="A10">
        <v>10</v>
      </c>
      <c r="B10">
        <v>20.145897999999999</v>
      </c>
      <c r="C10">
        <v>85.674199000000002</v>
      </c>
      <c r="D10" t="s">
        <v>26</v>
      </c>
      <c r="E10">
        <v>1.8</v>
      </c>
      <c r="F10">
        <v>28.4</v>
      </c>
      <c r="G10">
        <v>53.5</v>
      </c>
      <c r="H10">
        <v>28.7</v>
      </c>
      <c r="I10">
        <v>1015.5</v>
      </c>
      <c r="J10">
        <v>35.36</v>
      </c>
      <c r="L10" t="s">
        <v>27</v>
      </c>
      <c r="M10" s="1">
        <v>31.742486953735352</v>
      </c>
    </row>
    <row r="11" spans="1:13" ht="12.75" x14ac:dyDescent="0.2">
      <c r="A11">
        <v>11</v>
      </c>
      <c r="B11">
        <v>20.146172</v>
      </c>
      <c r="C11">
        <v>85.673884999999999</v>
      </c>
      <c r="D11" t="s">
        <v>28</v>
      </c>
      <c r="E11">
        <v>0.5</v>
      </c>
      <c r="F11">
        <v>29.3</v>
      </c>
      <c r="G11">
        <v>51.4</v>
      </c>
      <c r="H11">
        <v>30.7</v>
      </c>
      <c r="I11">
        <v>1015.7</v>
      </c>
      <c r="J11">
        <v>26.76</v>
      </c>
      <c r="L11" t="s">
        <v>29</v>
      </c>
      <c r="M11" s="1">
        <v>32.675590515136719</v>
      </c>
    </row>
    <row r="12" spans="1:13" ht="12.75" x14ac:dyDescent="0.2">
      <c r="A12">
        <v>12</v>
      </c>
      <c r="B12">
        <v>20.14677</v>
      </c>
      <c r="C12">
        <v>85.673523000000003</v>
      </c>
      <c r="D12" t="s">
        <v>30</v>
      </c>
      <c r="E12">
        <v>1.1000000000000001</v>
      </c>
      <c r="F12">
        <v>29</v>
      </c>
      <c r="G12">
        <v>51.7</v>
      </c>
      <c r="H12">
        <v>30.9</v>
      </c>
      <c r="I12">
        <v>1015.4</v>
      </c>
      <c r="J12">
        <v>36.93</v>
      </c>
      <c r="L12" t="s">
        <v>31</v>
      </c>
      <c r="M12" s="1">
        <v>33.085746765136719</v>
      </c>
    </row>
    <row r="13" spans="1:13" ht="12.75" x14ac:dyDescent="0.2">
      <c r="A13">
        <v>13</v>
      </c>
      <c r="B13">
        <v>20.146895000000001</v>
      </c>
      <c r="C13">
        <v>85.673282999999998</v>
      </c>
      <c r="D13" t="s">
        <v>32</v>
      </c>
      <c r="E13">
        <v>0.5</v>
      </c>
      <c r="F13">
        <v>30.8</v>
      </c>
      <c r="G13">
        <v>48.7</v>
      </c>
      <c r="H13">
        <v>33.799999999999997</v>
      </c>
      <c r="I13">
        <v>1015.5</v>
      </c>
      <c r="J13">
        <v>35.299999999999997</v>
      </c>
      <c r="L13" t="s">
        <v>33</v>
      </c>
      <c r="M13" s="1">
        <v>33.044731140136719</v>
      </c>
    </row>
    <row r="14" spans="1:13" ht="12.75" x14ac:dyDescent="0.2">
      <c r="A14">
        <v>14</v>
      </c>
      <c r="B14">
        <v>20.147040000000001</v>
      </c>
      <c r="C14">
        <v>85.672910999999999</v>
      </c>
      <c r="D14" t="s">
        <v>34</v>
      </c>
      <c r="E14">
        <v>1.3</v>
      </c>
      <c r="F14">
        <v>28.8</v>
      </c>
      <c r="G14">
        <v>54.8</v>
      </c>
      <c r="H14">
        <v>29.5</v>
      </c>
      <c r="I14">
        <v>1015.1</v>
      </c>
      <c r="J14">
        <v>34</v>
      </c>
      <c r="L14" t="s">
        <v>35</v>
      </c>
      <c r="M14" s="1">
        <v>33.044731140136719</v>
      </c>
    </row>
    <row r="15" spans="1:13" ht="12.75" x14ac:dyDescent="0.2">
      <c r="A15">
        <v>15</v>
      </c>
      <c r="B15">
        <v>20.147012</v>
      </c>
      <c r="C15">
        <v>85.674279999999996</v>
      </c>
      <c r="D15" t="s">
        <v>36</v>
      </c>
      <c r="E15">
        <v>0.4</v>
      </c>
      <c r="F15">
        <v>28.1</v>
      </c>
      <c r="G15">
        <v>52.5</v>
      </c>
      <c r="H15">
        <v>29.6</v>
      </c>
      <c r="I15">
        <v>1015</v>
      </c>
      <c r="J15">
        <v>35.229999999999997</v>
      </c>
      <c r="L15" t="s">
        <v>37</v>
      </c>
      <c r="M15" s="1">
        <v>32.009086608886719</v>
      </c>
    </row>
    <row r="16" spans="1:13" ht="12.75" x14ac:dyDescent="0.2">
      <c r="A16">
        <v>16</v>
      </c>
      <c r="B16">
        <v>20.147544</v>
      </c>
      <c r="C16">
        <v>85.671766000000005</v>
      </c>
      <c r="D16" t="s">
        <v>38</v>
      </c>
      <c r="E16">
        <v>0.6</v>
      </c>
      <c r="F16">
        <v>29.9</v>
      </c>
      <c r="G16">
        <v>52.7</v>
      </c>
      <c r="H16">
        <v>31.8</v>
      </c>
      <c r="I16">
        <v>1014.7</v>
      </c>
      <c r="J16">
        <v>41.03</v>
      </c>
      <c r="L16" t="s">
        <v>39</v>
      </c>
      <c r="M16" s="1">
        <v>33.612144470214837</v>
      </c>
    </row>
    <row r="17" spans="1:13" ht="12.75" x14ac:dyDescent="0.2">
      <c r="A17">
        <v>17</v>
      </c>
      <c r="B17">
        <v>20.147977000000001</v>
      </c>
      <c r="C17">
        <v>85.671785</v>
      </c>
      <c r="D17" t="s">
        <v>40</v>
      </c>
      <c r="E17">
        <v>0.3</v>
      </c>
      <c r="F17">
        <v>31.3</v>
      </c>
      <c r="G17">
        <v>51.7</v>
      </c>
      <c r="H17">
        <v>34.799999999999997</v>
      </c>
      <c r="I17">
        <v>1014.6</v>
      </c>
      <c r="J17">
        <v>43.03</v>
      </c>
      <c r="L17" t="s">
        <v>41</v>
      </c>
      <c r="M17" s="1">
        <v>32.986625671386719</v>
      </c>
    </row>
    <row r="18" spans="1:13" ht="12.75" x14ac:dyDescent="0.2">
      <c r="A18">
        <v>18</v>
      </c>
      <c r="B18">
        <v>20.148302000000001</v>
      </c>
      <c r="C18">
        <v>85.671840000000003</v>
      </c>
      <c r="D18" t="s">
        <v>30</v>
      </c>
      <c r="E18">
        <v>1.6</v>
      </c>
      <c r="F18">
        <v>30.6</v>
      </c>
      <c r="G18">
        <v>54.1</v>
      </c>
      <c r="H18">
        <v>33.299999999999997</v>
      </c>
      <c r="I18">
        <v>1014.4</v>
      </c>
      <c r="J18">
        <v>41.7</v>
      </c>
      <c r="L18" t="s">
        <v>42</v>
      </c>
      <c r="M18" s="1">
        <v>32.802055358886719</v>
      </c>
    </row>
    <row r="19" spans="1:13" ht="12.75" x14ac:dyDescent="0.2">
      <c r="A19">
        <v>19</v>
      </c>
      <c r="B19">
        <v>20.148738000000002</v>
      </c>
      <c r="C19">
        <v>85.671575000000004</v>
      </c>
      <c r="D19" t="s">
        <v>43</v>
      </c>
      <c r="E19">
        <v>0.8</v>
      </c>
      <c r="F19">
        <v>31.4</v>
      </c>
      <c r="G19">
        <v>54.7</v>
      </c>
      <c r="H19">
        <v>33.700000000000003</v>
      </c>
      <c r="I19">
        <v>1014.4</v>
      </c>
      <c r="J19">
        <v>41.76</v>
      </c>
      <c r="L19" t="s">
        <v>44</v>
      </c>
      <c r="M19" s="1">
        <v>32.494438171386719</v>
      </c>
    </row>
    <row r="20" spans="1:13" ht="12.75" x14ac:dyDescent="0.2">
      <c r="A20">
        <v>20</v>
      </c>
      <c r="B20">
        <v>20.150068999999998</v>
      </c>
      <c r="C20">
        <v>85.672263000000001</v>
      </c>
      <c r="D20" t="s">
        <v>45</v>
      </c>
      <c r="E20">
        <v>1.4</v>
      </c>
      <c r="F20">
        <v>29.9</v>
      </c>
      <c r="G20">
        <v>53</v>
      </c>
      <c r="H20">
        <v>31.6</v>
      </c>
      <c r="I20">
        <v>1013.5</v>
      </c>
      <c r="J20">
        <v>34.96</v>
      </c>
      <c r="L20" t="s">
        <v>46</v>
      </c>
      <c r="M20" s="1">
        <v>32.501274108886719</v>
      </c>
    </row>
    <row r="21" spans="1:13" ht="12.75" x14ac:dyDescent="0.2">
      <c r="A21">
        <v>21</v>
      </c>
      <c r="B21">
        <v>20.150031999999999</v>
      </c>
      <c r="C21">
        <v>85.672426999999999</v>
      </c>
      <c r="D21" t="s">
        <v>47</v>
      </c>
      <c r="E21">
        <v>1.5</v>
      </c>
      <c r="F21">
        <v>28.6</v>
      </c>
      <c r="G21">
        <v>54.7</v>
      </c>
      <c r="H21">
        <v>30.4</v>
      </c>
      <c r="I21">
        <v>1013.6</v>
      </c>
      <c r="J21">
        <v>37.18</v>
      </c>
      <c r="L21" t="s">
        <v>48</v>
      </c>
      <c r="M21" s="1">
        <v>32.501274108886719</v>
      </c>
    </row>
    <row r="22" spans="1:13" ht="12.75" x14ac:dyDescent="0.2">
      <c r="A22">
        <v>22</v>
      </c>
      <c r="B22">
        <v>20.149944000000001</v>
      </c>
      <c r="C22">
        <v>85.673176999999995</v>
      </c>
      <c r="D22" t="s">
        <v>49</v>
      </c>
      <c r="E22">
        <v>1.8</v>
      </c>
      <c r="F22">
        <v>29</v>
      </c>
      <c r="G22">
        <v>55</v>
      </c>
      <c r="H22">
        <v>30.8</v>
      </c>
      <c r="I22">
        <v>1013.2</v>
      </c>
      <c r="J22">
        <v>43.1</v>
      </c>
      <c r="L22" t="s">
        <v>50</v>
      </c>
      <c r="M22" s="1">
        <v>31.903131484985352</v>
      </c>
    </row>
    <row r="23" spans="1:13" ht="12.75" x14ac:dyDescent="0.2">
      <c r="A23">
        <v>23</v>
      </c>
      <c r="B23">
        <v>20.149948999999999</v>
      </c>
      <c r="C23">
        <v>85.674752999999995</v>
      </c>
      <c r="D23" t="s">
        <v>51</v>
      </c>
      <c r="E23">
        <v>1.6</v>
      </c>
      <c r="F23">
        <v>29.7</v>
      </c>
      <c r="G23">
        <v>51.5</v>
      </c>
      <c r="H23">
        <v>31.7</v>
      </c>
      <c r="I23">
        <v>1013.5</v>
      </c>
      <c r="J23">
        <v>38.5</v>
      </c>
      <c r="L23" t="s">
        <v>52</v>
      </c>
      <c r="M23" s="1">
        <v>31.32546424865723</v>
      </c>
    </row>
    <row r="24" spans="1:13" ht="12.75" x14ac:dyDescent="0.2">
      <c r="A24">
        <v>24</v>
      </c>
      <c r="B24">
        <v>20.150020000000001</v>
      </c>
      <c r="C24">
        <v>85.674850000000006</v>
      </c>
      <c r="D24" t="s">
        <v>53</v>
      </c>
      <c r="E24">
        <v>0.5</v>
      </c>
      <c r="F24">
        <v>30.9</v>
      </c>
      <c r="G24">
        <v>47.4</v>
      </c>
      <c r="H24">
        <v>33</v>
      </c>
      <c r="I24">
        <v>1013.1</v>
      </c>
      <c r="J24">
        <v>37.92</v>
      </c>
      <c r="L24" t="s">
        <v>54</v>
      </c>
      <c r="M24" s="1">
        <v>31.32546424865723</v>
      </c>
    </row>
    <row r="25" spans="1:13" ht="12.75" x14ac:dyDescent="0.2">
      <c r="A25">
        <v>25</v>
      </c>
      <c r="B25">
        <v>20.149989999999999</v>
      </c>
      <c r="C25">
        <v>85.675597999999994</v>
      </c>
      <c r="D25" t="s">
        <v>55</v>
      </c>
      <c r="E25">
        <v>1.6</v>
      </c>
      <c r="F25">
        <v>30</v>
      </c>
      <c r="G25">
        <v>48.2</v>
      </c>
      <c r="H25">
        <v>31.9</v>
      </c>
      <c r="I25">
        <v>1013.5</v>
      </c>
      <c r="J25">
        <v>34.909999999999997</v>
      </c>
      <c r="L25" t="s">
        <v>56</v>
      </c>
      <c r="M25" s="1">
        <v>31.988580703735352</v>
      </c>
    </row>
    <row r="26" spans="1:13" ht="12.75" x14ac:dyDescent="0.2">
      <c r="A26">
        <v>26</v>
      </c>
      <c r="B26">
        <v>20.150262000000001</v>
      </c>
      <c r="C26">
        <v>85.677627999999999</v>
      </c>
      <c r="D26" t="s">
        <v>53</v>
      </c>
      <c r="E26">
        <v>1.3</v>
      </c>
      <c r="F26">
        <v>30.7</v>
      </c>
      <c r="G26">
        <v>51</v>
      </c>
      <c r="H26">
        <v>32.6</v>
      </c>
      <c r="I26">
        <v>1014.2</v>
      </c>
      <c r="J26">
        <v>38.380000000000003</v>
      </c>
      <c r="L26" t="s">
        <v>57</v>
      </c>
      <c r="M26" s="1">
        <v>31.10329627990723</v>
      </c>
    </row>
    <row r="27" spans="1:13" ht="12.75" x14ac:dyDescent="0.2">
      <c r="A27">
        <v>27</v>
      </c>
      <c r="B27">
        <v>20.145799</v>
      </c>
      <c r="C27">
        <v>85.678685000000002</v>
      </c>
      <c r="D27" t="s">
        <v>58</v>
      </c>
      <c r="E27">
        <v>1.2</v>
      </c>
      <c r="F27">
        <v>31</v>
      </c>
      <c r="G27">
        <v>48.2</v>
      </c>
      <c r="H27">
        <v>33.4</v>
      </c>
      <c r="I27">
        <v>1013.8</v>
      </c>
      <c r="J27">
        <v>43.4</v>
      </c>
      <c r="L27" t="s">
        <v>59</v>
      </c>
      <c r="M27" s="1">
        <v>29.58571815490723</v>
      </c>
    </row>
    <row r="28" spans="1:13" ht="12.75" x14ac:dyDescent="0.2">
      <c r="A28">
        <v>28</v>
      </c>
      <c r="B28">
        <v>20.148140000000001</v>
      </c>
      <c r="C28">
        <v>85.678696000000002</v>
      </c>
      <c r="D28" t="s">
        <v>60</v>
      </c>
      <c r="E28">
        <v>1.4</v>
      </c>
      <c r="F28">
        <v>31.1</v>
      </c>
      <c r="G28">
        <v>51.2</v>
      </c>
      <c r="H28">
        <v>33.4</v>
      </c>
      <c r="I28">
        <v>1014.4</v>
      </c>
      <c r="J28">
        <v>43.13</v>
      </c>
      <c r="L28" t="s">
        <v>61</v>
      </c>
      <c r="M28" s="1">
        <v>31.01101112365723</v>
      </c>
    </row>
    <row r="29" spans="1:13" ht="12.75" x14ac:dyDescent="0.2">
      <c r="A29">
        <v>29</v>
      </c>
      <c r="B29">
        <v>20.146787</v>
      </c>
      <c r="C29">
        <v>85.678719000000001</v>
      </c>
      <c r="D29" t="s">
        <v>62</v>
      </c>
      <c r="E29">
        <v>1</v>
      </c>
      <c r="F29">
        <v>30.6</v>
      </c>
      <c r="G29">
        <v>49.6</v>
      </c>
      <c r="H29">
        <v>34.5</v>
      </c>
      <c r="I29">
        <v>1013.5</v>
      </c>
      <c r="J29">
        <v>43.73</v>
      </c>
      <c r="L29" t="s">
        <v>63</v>
      </c>
      <c r="M29" s="1">
        <v>29.83864784240723</v>
      </c>
    </row>
    <row r="30" spans="1:13" ht="12.75" x14ac:dyDescent="0.2">
      <c r="A30">
        <v>30</v>
      </c>
      <c r="B30">
        <v>20.146650999999999</v>
      </c>
      <c r="C30">
        <v>85.678075000000007</v>
      </c>
      <c r="D30" t="s">
        <v>64</v>
      </c>
      <c r="E30">
        <v>1</v>
      </c>
      <c r="F30">
        <v>32.9</v>
      </c>
      <c r="G30">
        <v>50.8</v>
      </c>
      <c r="H30">
        <v>36.299999999999997</v>
      </c>
      <c r="I30">
        <v>1013.2</v>
      </c>
      <c r="J30">
        <v>42.45</v>
      </c>
      <c r="L30" t="s">
        <v>65</v>
      </c>
      <c r="M30" s="1">
        <v>30.47097206115723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topLeftCell="C1" workbookViewId="0">
      <selection activeCell="O10" sqref="O10"/>
    </sheetView>
  </sheetViews>
  <sheetFormatPr defaultRowHeight="12.75" x14ac:dyDescent="0.2"/>
  <cols>
    <col min="1" max="1" width="12.140625" customWidth="1"/>
    <col min="2" max="3" width="11.5703125" customWidth="1"/>
    <col min="5" max="5" width="12" customWidth="1"/>
    <col min="6" max="6" width="12.5703125" customWidth="1"/>
    <col min="7" max="7" width="25.42578125" customWidth="1"/>
    <col min="8" max="8" width="25.28515625" customWidth="1"/>
    <col min="9" max="9" width="13.7109375" customWidth="1"/>
  </cols>
  <sheetData>
    <row r="1" spans="1:9" x14ac:dyDescent="0.2">
      <c r="A1" t="s">
        <v>66</v>
      </c>
      <c r="B1" t="s">
        <v>68</v>
      </c>
      <c r="C1" t="s">
        <v>75</v>
      </c>
      <c r="D1" t="s">
        <v>69</v>
      </c>
      <c r="E1" t="s">
        <v>71</v>
      </c>
      <c r="F1" t="s">
        <v>70</v>
      </c>
      <c r="G1" t="s">
        <v>72</v>
      </c>
      <c r="H1" t="s">
        <v>73</v>
      </c>
      <c r="I1" t="s">
        <v>74</v>
      </c>
    </row>
    <row r="2" spans="1:9" x14ac:dyDescent="0.2">
      <c r="A2">
        <v>33.43</v>
      </c>
      <c r="B2" s="1">
        <v>31.455347061157202</v>
      </c>
      <c r="C2" s="1">
        <v>24.850000000000023</v>
      </c>
      <c r="D2" s="1">
        <f>A2-B2</f>
        <v>1.974652938842798</v>
      </c>
      <c r="E2">
        <f>SUMSQ(D2:D30)</f>
        <v>1467.5634769822259</v>
      </c>
      <c r="F2">
        <f>SQRT(SUMSQ(D2:D30)/COUNTA(D2:D30))</f>
        <v>7.1137639219556714</v>
      </c>
      <c r="G2" s="1">
        <f>AVERAGE(A2:A30)</f>
        <v>37.263103448275857</v>
      </c>
      <c r="H2" s="1">
        <f>AVERAGE(B2:B30)</f>
        <v>31.839120536014953</v>
      </c>
      <c r="I2" s="1">
        <f>G2-H2</f>
        <v>5.4239829122609038</v>
      </c>
    </row>
    <row r="3" spans="1:9" x14ac:dyDescent="0.2">
      <c r="A3">
        <v>35.28</v>
      </c>
      <c r="B3" s="1">
        <v>31.18874549865723</v>
      </c>
      <c r="C3" s="1">
        <v>24.850000000000023</v>
      </c>
      <c r="D3" s="1">
        <f t="shared" ref="D3:D30" si="0">A3-B3</f>
        <v>4.091254501342771</v>
      </c>
    </row>
    <row r="4" spans="1:9" x14ac:dyDescent="0.2">
      <c r="A4">
        <v>33.75</v>
      </c>
      <c r="B4" s="1">
        <v>31.45534706115723</v>
      </c>
      <c r="C4" s="1">
        <v>24.850000000000023</v>
      </c>
      <c r="D4" s="1">
        <f t="shared" si="0"/>
        <v>2.2946529388427699</v>
      </c>
    </row>
    <row r="5" spans="1:9" x14ac:dyDescent="0.2">
      <c r="A5">
        <v>36.21</v>
      </c>
      <c r="B5" s="1">
        <v>30.99392127990723</v>
      </c>
      <c r="C5" s="1">
        <v>24.850000000000023</v>
      </c>
      <c r="D5" s="1">
        <f t="shared" si="0"/>
        <v>5.2160787200927707</v>
      </c>
    </row>
    <row r="6" spans="1:9" x14ac:dyDescent="0.2">
      <c r="A6">
        <v>35.53</v>
      </c>
      <c r="B6" s="1">
        <v>31.16823768615723</v>
      </c>
      <c r="C6" s="1">
        <v>25.850000000000023</v>
      </c>
      <c r="D6" s="1">
        <f t="shared" si="0"/>
        <v>4.361762313842771</v>
      </c>
    </row>
    <row r="7" spans="1:9" x14ac:dyDescent="0.2">
      <c r="A7">
        <v>34.86</v>
      </c>
      <c r="B7" s="1">
        <v>32.121879577636719</v>
      </c>
      <c r="C7" s="1">
        <v>24.850000000000023</v>
      </c>
      <c r="D7" s="1">
        <f t="shared" si="0"/>
        <v>2.7381204223632807</v>
      </c>
    </row>
    <row r="8" spans="1:9" x14ac:dyDescent="0.2">
      <c r="A8">
        <v>30.3</v>
      </c>
      <c r="B8" s="1">
        <v>32.121879577636719</v>
      </c>
      <c r="C8" s="1">
        <v>24.850000000000023</v>
      </c>
      <c r="D8" s="1">
        <f t="shared" si="0"/>
        <v>-1.821879577636718</v>
      </c>
    </row>
    <row r="9" spans="1:9" x14ac:dyDescent="0.2">
      <c r="A9">
        <v>32.51</v>
      </c>
      <c r="B9" s="1">
        <v>31.776666641235352</v>
      </c>
      <c r="C9" s="1">
        <v>24.850000000000023</v>
      </c>
      <c r="D9" s="1">
        <f t="shared" si="0"/>
        <v>0.73333335876464645</v>
      </c>
    </row>
    <row r="10" spans="1:9" x14ac:dyDescent="0.2">
      <c r="A10">
        <v>35.36</v>
      </c>
      <c r="B10" s="1">
        <v>31.742486953735352</v>
      </c>
      <c r="C10" s="1">
        <v>25.850000000000023</v>
      </c>
      <c r="D10" s="1">
        <f t="shared" si="0"/>
        <v>3.6175130462646479</v>
      </c>
    </row>
    <row r="11" spans="1:9" x14ac:dyDescent="0.2">
      <c r="A11">
        <v>26.76</v>
      </c>
      <c r="B11" s="1">
        <v>32.675590515136719</v>
      </c>
      <c r="C11" s="1">
        <v>25.850000000000023</v>
      </c>
      <c r="D11" s="1">
        <f t="shared" si="0"/>
        <v>-5.9155905151367172</v>
      </c>
    </row>
    <row r="12" spans="1:9" x14ac:dyDescent="0.2">
      <c r="A12">
        <v>36.93</v>
      </c>
      <c r="B12" s="1">
        <v>33.085746765136719</v>
      </c>
      <c r="C12" s="1">
        <v>25.850000000000023</v>
      </c>
      <c r="D12" s="1">
        <f t="shared" si="0"/>
        <v>3.844253234863281</v>
      </c>
    </row>
    <row r="13" spans="1:9" x14ac:dyDescent="0.2">
      <c r="A13">
        <v>35.299999999999997</v>
      </c>
      <c r="B13" s="1">
        <v>33.044731140136719</v>
      </c>
      <c r="C13" s="1">
        <v>25.850000000000023</v>
      </c>
      <c r="D13" s="1">
        <f t="shared" si="0"/>
        <v>2.2552688598632784</v>
      </c>
    </row>
    <row r="14" spans="1:9" x14ac:dyDescent="0.2">
      <c r="A14">
        <v>34</v>
      </c>
      <c r="B14" s="1">
        <v>33.044731140136719</v>
      </c>
      <c r="C14" s="1">
        <v>25.850000000000023</v>
      </c>
      <c r="D14" s="1">
        <f t="shared" si="0"/>
        <v>0.95526885986328125</v>
      </c>
    </row>
    <row r="15" spans="1:9" x14ac:dyDescent="0.2">
      <c r="A15">
        <v>35.229999999999997</v>
      </c>
      <c r="B15" s="1">
        <v>32.009086608886719</v>
      </c>
      <c r="C15" s="1">
        <v>25.850000000000023</v>
      </c>
      <c r="D15" s="1">
        <f t="shared" si="0"/>
        <v>3.2209133911132781</v>
      </c>
    </row>
    <row r="16" spans="1:9" x14ac:dyDescent="0.2">
      <c r="A16">
        <v>41.03</v>
      </c>
      <c r="B16" s="1">
        <v>33.612144470214837</v>
      </c>
      <c r="C16" s="1">
        <v>25.850000000000023</v>
      </c>
      <c r="D16" s="1">
        <f t="shared" si="0"/>
        <v>7.4178555297851645</v>
      </c>
    </row>
    <row r="17" spans="1:4" x14ac:dyDescent="0.2">
      <c r="A17">
        <v>43.03</v>
      </c>
      <c r="B17" s="1">
        <v>32.986625671386719</v>
      </c>
      <c r="C17" s="1">
        <v>25.850000000000023</v>
      </c>
      <c r="D17" s="1">
        <f t="shared" si="0"/>
        <v>10.043374328613282</v>
      </c>
    </row>
    <row r="18" spans="1:4" x14ac:dyDescent="0.2">
      <c r="A18">
        <v>41.7</v>
      </c>
      <c r="B18" s="1">
        <v>32.802055358886719</v>
      </c>
      <c r="C18" s="1">
        <v>25.850000000000023</v>
      </c>
      <c r="D18" s="1">
        <f t="shared" si="0"/>
        <v>8.8979446411132841</v>
      </c>
    </row>
    <row r="19" spans="1:4" x14ac:dyDescent="0.2">
      <c r="A19">
        <v>41.76</v>
      </c>
      <c r="B19" s="1">
        <v>32.494438171386719</v>
      </c>
      <c r="C19" s="1">
        <v>25.850000000000023</v>
      </c>
      <c r="D19" s="1">
        <f t="shared" si="0"/>
        <v>9.2655618286132793</v>
      </c>
    </row>
    <row r="20" spans="1:4" x14ac:dyDescent="0.2">
      <c r="A20">
        <v>34.96</v>
      </c>
      <c r="B20" s="1">
        <v>32.501274108886719</v>
      </c>
      <c r="C20" s="1">
        <v>25.850000000000023</v>
      </c>
      <c r="D20" s="1">
        <f t="shared" si="0"/>
        <v>2.4587258911132821</v>
      </c>
    </row>
    <row r="21" spans="1:4" x14ac:dyDescent="0.2">
      <c r="A21">
        <v>37.18</v>
      </c>
      <c r="B21" s="1">
        <v>32.501274108886719</v>
      </c>
      <c r="C21" s="1">
        <v>25.03000000000003</v>
      </c>
      <c r="D21" s="1">
        <f t="shared" si="0"/>
        <v>4.678725891113281</v>
      </c>
    </row>
    <row r="22" spans="1:4" x14ac:dyDescent="0.2">
      <c r="A22">
        <v>43.1</v>
      </c>
      <c r="B22" s="1">
        <v>31.903131484985352</v>
      </c>
      <c r="C22" s="1">
        <v>25.03000000000003</v>
      </c>
      <c r="D22" s="1">
        <f t="shared" si="0"/>
        <v>11.19686851501465</v>
      </c>
    </row>
    <row r="23" spans="1:4" x14ac:dyDescent="0.2">
      <c r="A23">
        <v>38.5</v>
      </c>
      <c r="B23" s="1">
        <v>31.32546424865723</v>
      </c>
      <c r="C23" s="1">
        <v>25.850000000000023</v>
      </c>
      <c r="D23" s="1">
        <f t="shared" si="0"/>
        <v>7.1745357513427699</v>
      </c>
    </row>
    <row r="24" spans="1:4" x14ac:dyDescent="0.2">
      <c r="A24">
        <v>37.92</v>
      </c>
      <c r="B24" s="1">
        <v>31.32546424865723</v>
      </c>
      <c r="C24" s="1">
        <v>25.850000000000023</v>
      </c>
      <c r="D24" s="1">
        <f t="shared" si="0"/>
        <v>6.5945357513427716</v>
      </c>
    </row>
    <row r="25" spans="1:4" x14ac:dyDescent="0.2">
      <c r="A25">
        <v>34.909999999999997</v>
      </c>
      <c r="B25" s="1">
        <v>31.988580703735352</v>
      </c>
      <c r="C25" s="1">
        <v>25.03000000000003</v>
      </c>
      <c r="D25" s="1">
        <f t="shared" si="0"/>
        <v>2.921419296264645</v>
      </c>
    </row>
    <row r="26" spans="1:4" x14ac:dyDescent="0.2">
      <c r="A26">
        <v>38.380000000000003</v>
      </c>
      <c r="B26" s="1">
        <v>31.10329627990723</v>
      </c>
      <c r="C26" s="1">
        <v>24.850000000000023</v>
      </c>
      <c r="D26" s="1">
        <f t="shared" si="0"/>
        <v>7.2767037200927724</v>
      </c>
    </row>
    <row r="27" spans="1:4" x14ac:dyDescent="0.2">
      <c r="A27">
        <v>43.4</v>
      </c>
      <c r="B27" s="1">
        <v>29.58571815490723</v>
      </c>
      <c r="C27" s="1">
        <v>25.03000000000003</v>
      </c>
      <c r="D27" s="1">
        <f t="shared" si="0"/>
        <v>13.814281845092768</v>
      </c>
    </row>
    <row r="28" spans="1:4" x14ac:dyDescent="0.2">
      <c r="A28">
        <v>43.13</v>
      </c>
      <c r="B28" s="1">
        <v>31.01101112365723</v>
      </c>
      <c r="C28" s="1">
        <v>24.850000000000023</v>
      </c>
      <c r="D28" s="1">
        <f t="shared" si="0"/>
        <v>12.118988876342772</v>
      </c>
    </row>
    <row r="29" spans="1:4" x14ac:dyDescent="0.2">
      <c r="A29">
        <v>43.73</v>
      </c>
      <c r="B29" s="1">
        <v>29.83864784240723</v>
      </c>
      <c r="C29" s="1">
        <v>24.850000000000023</v>
      </c>
      <c r="D29" s="1">
        <f t="shared" si="0"/>
        <v>13.891352157592767</v>
      </c>
    </row>
    <row r="30" spans="1:4" x14ac:dyDescent="0.2">
      <c r="A30">
        <v>42.45</v>
      </c>
      <c r="B30" s="1">
        <v>30.47097206115723</v>
      </c>
      <c r="C30" s="1">
        <v>24.850000000000023</v>
      </c>
      <c r="D30" s="1">
        <f t="shared" si="0"/>
        <v>11.979027938842773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sample_values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0</cp:revision>
  <dcterms:created xsi:type="dcterms:W3CDTF">2026-02-13T06:44:13Z</dcterms:created>
  <dcterms:modified xsi:type="dcterms:W3CDTF">2026-02-13T07:25:31Z</dcterms:modified>
</cp:coreProperties>
</file>